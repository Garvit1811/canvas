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mc:AlternateContent xmlns:mc="http://schemas.openxmlformats.org/markup-compatibility/2006">
    <mc:Choice Requires="x15">
      <x15ac:absPath xmlns:x15ac="http://schemas.microsoft.com/office/spreadsheetml/2010/11/ac" url="https://ubcca.sharepoint.com/teams/ubcLAW-gr-BSH/Shared Documents/General/Research Projects and Reports/BSH Research Project and Reports/2023_Evictions and Financialization/Evictions Book Project/Chapter1_ProvincialProcesses/Working Folder Sheila/"/>
    </mc:Choice>
  </mc:AlternateContent>
  <xr:revisionPtr revIDLastSave="145" documentId="8_{70E2B4AB-262D-402F-867F-FFBCF84ABA1A}" xr6:coauthVersionLast="47" xr6:coauthVersionMax="47" xr10:uidLastSave="{7B0F5A9D-05DF-45EC-9C19-8E21E8B12AE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 r="C29" i="1" s="1"/>
  <c r="B28" i="1"/>
  <c r="C28" i="1" s="1"/>
  <c r="B27" i="1"/>
  <c r="C27" i="1" s="1"/>
  <c r="B17" i="1"/>
  <c r="B2" i="1"/>
  <c r="B22" i="1"/>
  <c r="C22" i="1" s="1"/>
  <c r="B26" i="1"/>
  <c r="C26" i="1" s="1"/>
  <c r="B25" i="1"/>
  <c r="C25" i="1" s="1"/>
  <c r="B24" i="1"/>
  <c r="C24" i="1" s="1"/>
  <c r="B23" i="1"/>
  <c r="C23" i="1"/>
  <c r="B21" i="1"/>
  <c r="C21" i="1" s="1"/>
  <c r="B20" i="1"/>
  <c r="C20" i="1"/>
  <c r="B19" i="1"/>
  <c r="C19" i="1" s="1"/>
  <c r="B18" i="1"/>
  <c r="C18" i="1" s="1"/>
  <c r="C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tc={9B8E6AE9-7750-4C81-B263-4CABC51ADD3B}</author>
    <author>tc={2F945AEB-343A-4F7C-875B-167BAA1BDD51}</author>
    <author>tc={C1DBFDCE-9BA0-4050-A28E-8AC44BEFFC7A}</author>
    <author>McKay, Alina</author>
    <author>tc={8B0CA0D2-E754-4837-96CE-04A286B9134A}</author>
    <author>tc={550C749A-C64C-470D-A7CD-6CD81952C08C}</author>
    <author>tc={680FC9D2-579F-4D86-BF1D-0DAF47E37F1F}</author>
    <author>tc={9575B30C-81CC-4CB1-9FBD-BF8E60729C76}</author>
    <author>tc={9FA90662-72F6-46EA-93A8-E1DF7048B783}</author>
  </authors>
  <commentList>
    <comment ref="J2" authorId="0" shapeId="0" xr:uid="{9B8E6AE9-7750-4C81-B263-4CABC51ADD3B}">
      <text>
        <t>[Threaded comment]
Your version of Excel allows you to read this threaded comment; however, any edits to it will get removed if the file is opened in a newer version of Excel. Learn more: https://go.microsoft.com/fwlink/?linkid=870924
Comment:
    under new rubric, bc would be 1
Reply:
    previously 3</t>
      </text>
    </comment>
    <comment ref="J3" authorId="1" shapeId="0" xr:uid="{2F945AEB-343A-4F7C-875B-167BAA1BDD51}">
      <text>
        <t xml:space="preserve">[Threaded comment]
Your version of Excel allows you to read this threaded comment; however, any edits to it will get removed if the file is opened in a newer version of Excel. Learn more: https://go.microsoft.com/fwlink/?linkid=870924
Comment:
    under new rubric, AB would be 1
Reply:
    2 </t>
      </text>
    </comment>
    <comment ref="J4" authorId="2" shapeId="0" xr:uid="{C1DBFDCE-9BA0-4050-A28E-8AC44BEFFC7A}">
      <text>
        <t>[Threaded comment]
Your version of Excel allows you to read this threaded comment; however, any edits to it will get removed if the file is opened in a newer version of Excel. Learn more: https://go.microsoft.com/fwlink/?linkid=870924
Comment:
    under new rubric, SK is 4 because (automatic stay + &gt;20 days, but accessibility dinged for requiring certificate of payment for non-payment)
Reply:
    previously 2</t>
      </text>
    </comment>
    <comment ref="H5" authorId="3" shapeId="0" xr:uid="{5852A4F2-418D-4D0A-8FD1-C7CA4E2F094A}">
      <text>
        <r>
          <rPr>
            <b/>
            <sz val="9"/>
            <color indexed="81"/>
            <rFont val="Tahoma"/>
            <family val="2"/>
          </rPr>
          <t>McKay, Alina:</t>
        </r>
        <r>
          <rPr>
            <sz val="9"/>
            <color indexed="81"/>
            <rFont val="Tahoma"/>
            <family val="2"/>
          </rPr>
          <t xml:space="preserve">
I've also changed Manitoba's score to 4 due to the protection of families with school age children under Section (98(2) and 99(2) </t>
        </r>
      </text>
    </comment>
    <comment ref="J6" authorId="4" shapeId="0" xr:uid="{8B0CA0D2-E754-4837-96CE-04A286B9134A}">
      <text>
        <t xml:space="preserve">[Threaded comment]
Your version of Excel allows you to read this threaded comment; however, any edits to it will get removed if the file is opened in a newer version of Excel. Learn more: https://go.microsoft.com/fwlink/?linkid=870924
Comment:
    I changed Ontario to 4 based on the Bill 60 changes
</t>
      </text>
    </comment>
    <comment ref="J7" authorId="5" shapeId="0" xr:uid="{550C749A-C64C-470D-A7CD-6CD81952C08C}">
      <text>
        <t>[Threaded comment]
Your version of Excel allows you to read this threaded comment; however, any edits to it will get removed if the file is opened in a newer version of Excel. Learn more: https://go.microsoft.com/fwlink/?linkid=870924
Comment:
    under new rubric. QC is 1
Reply:
    previously 3</t>
      </text>
    </comment>
    <comment ref="J8" authorId="6" shapeId="0" xr:uid="{680FC9D2-579F-4D86-BF1D-0DAF47E37F1F}">
      <text>
        <t>[Threaded comment]
Your version of Excel allows you to read this threaded comment; however, any edits to it will get removed if the file is opened in a newer version of Excel. Learn more: https://go.microsoft.com/fwlink/?linkid=870924
Comment:
    under new rubric NB is 3
Reply:
    previously 4</t>
      </text>
    </comment>
    <comment ref="H11" authorId="3" shapeId="0" xr:uid="{37EFDEF3-B00C-49A2-85EB-0D69B61119B6}">
      <text>
        <r>
          <rPr>
            <b/>
            <sz val="9"/>
            <color indexed="81"/>
            <rFont val="Tahoma"/>
            <family val="2"/>
          </rPr>
          <t>McKay, Alina:</t>
        </r>
        <r>
          <rPr>
            <sz val="9"/>
            <color indexed="81"/>
            <rFont val="Tahoma"/>
            <family val="2"/>
          </rPr>
          <t xml:space="preserve">
I've changed this score to 1 as NLL allows evictions with no reason or cause under section 18(2) </t>
        </r>
      </text>
    </comment>
    <comment ref="J11" authorId="7" shapeId="0" xr:uid="{9575B30C-81CC-4CB1-9FBD-BF8E60729C76}">
      <text>
        <t>[Threaded comment]
Your version of Excel allows you to read this threaded comment; however, any edits to it will get removed if the file is opened in a newer version of Excel. Learn more: https://go.microsoft.com/fwlink/?linkid=870924
Comment:
    under new rubric, NLL is 2
Reply:
    previously 3</t>
      </text>
    </comment>
    <comment ref="M12" authorId="8" shapeId="0" xr:uid="{9FA90662-72F6-46EA-93A8-E1DF7048B783}">
      <text>
        <t>[Threaded comment]
Your version of Excel allows you to read this threaded comment; however, any edits to it will get removed if the file is opened in a newer version of Excel. Learn more: https://go.microsoft.com/fwlink/?linkid=870924
Comment:
    Changing this from 5 to 4 because deemed renewal only applies if there is not an agreed upon move out date s. 44(2)</t>
      </text>
    </comment>
    <comment ref="C13" authorId="3" shapeId="0" xr:uid="{FF3FF9F7-F359-4A56-B2F0-225F2861859D}">
      <text>
        <r>
          <rPr>
            <b/>
            <sz val="9"/>
            <color indexed="81"/>
            <rFont val="Tahoma"/>
            <charset val="1"/>
          </rPr>
          <t>McKay, Alina:</t>
        </r>
        <r>
          <rPr>
            <sz val="9"/>
            <color indexed="81"/>
            <rFont val="Tahoma"/>
            <charset val="1"/>
          </rPr>
          <t xml:space="preserve">
Hearing scheduled 4-8 weeks after an application made to the rental office. Tenant has ability to dispute at the hearing or can opt for mediation. While it's not particularly clear it does seem that tenants have a &gt;14 days.  </t>
        </r>
      </text>
    </comment>
  </commentList>
</comments>
</file>

<file path=xl/sharedStrings.xml><?xml version="1.0" encoding="utf-8"?>
<sst xmlns="http://schemas.openxmlformats.org/spreadsheetml/2006/main" count="44" uniqueCount="40">
  <si>
    <t>Province</t>
  </si>
  <si>
    <t>Notice of Termination</t>
  </si>
  <si>
    <t>Dispute Period</t>
  </si>
  <si>
    <t>Hearing &amp; Decision</t>
  </si>
  <si>
    <t>Order of Possession</t>
  </si>
  <si>
    <t>Rent Control</t>
  </si>
  <si>
    <t>AGI</t>
  </si>
  <si>
    <t>Eviction Types</t>
  </si>
  <si>
    <t>Compensation</t>
  </si>
  <si>
    <t>Appeal</t>
  </si>
  <si>
    <t>Onus &amp; Filing Fee</t>
  </si>
  <si>
    <t>Conditional Orders</t>
  </si>
  <si>
    <t>Deemed Renewal</t>
  </si>
  <si>
    <r>
      <t>BC</t>
    </r>
    <r>
      <rPr>
        <sz val="11"/>
        <rFont val="Calibri"/>
      </rPr>
      <t> </t>
    </r>
  </si>
  <si>
    <r>
      <t>Alberta</t>
    </r>
    <r>
      <rPr>
        <sz val="11"/>
        <rFont val="Calibri"/>
      </rPr>
      <t> </t>
    </r>
  </si>
  <si>
    <r>
      <t>Sask</t>
    </r>
    <r>
      <rPr>
        <sz val="11"/>
        <rFont val="Calibri"/>
      </rPr>
      <t> </t>
    </r>
  </si>
  <si>
    <r>
      <t>Manitoba</t>
    </r>
    <r>
      <rPr>
        <sz val="11"/>
        <rFont val="Calibri"/>
      </rPr>
      <t> </t>
    </r>
  </si>
  <si>
    <r>
      <t>Ontario</t>
    </r>
    <r>
      <rPr>
        <sz val="11"/>
        <rFont val="Calibri"/>
      </rPr>
      <t> </t>
    </r>
  </si>
  <si>
    <r>
      <t>Quebec</t>
    </r>
    <r>
      <rPr>
        <sz val="11"/>
        <rFont val="Calibri"/>
      </rPr>
      <t> </t>
    </r>
  </si>
  <si>
    <r>
      <t>NB</t>
    </r>
    <r>
      <rPr>
        <sz val="11"/>
        <rFont val="Calibri"/>
      </rPr>
      <t> </t>
    </r>
  </si>
  <si>
    <r>
      <t>Nova Scotia</t>
    </r>
    <r>
      <rPr>
        <sz val="11"/>
        <rFont val="Calibri"/>
      </rPr>
      <t> </t>
    </r>
  </si>
  <si>
    <r>
      <t>PEI</t>
    </r>
    <r>
      <rPr>
        <sz val="11"/>
        <rFont val="Calibri"/>
      </rPr>
      <t> </t>
    </r>
  </si>
  <si>
    <r>
      <t>Newfoundland</t>
    </r>
    <r>
      <rPr>
        <sz val="11"/>
        <rFont val="Calibri"/>
      </rPr>
      <t> </t>
    </r>
  </si>
  <si>
    <t>Yukon</t>
  </si>
  <si>
    <t>NWT</t>
  </si>
  <si>
    <t>Nunavut</t>
  </si>
  <si>
    <t>Total</t>
  </si>
  <si>
    <t>Average</t>
  </si>
  <si>
    <t>Good Faith</t>
  </si>
  <si>
    <t>Protected Group</t>
  </si>
  <si>
    <t xml:space="preserve">BC </t>
  </si>
  <si>
    <t xml:space="preserve">Alberta </t>
  </si>
  <si>
    <t>Sask </t>
  </si>
  <si>
    <t>Manitoba </t>
  </si>
  <si>
    <t>Ontario </t>
  </si>
  <si>
    <t>Quebec </t>
  </si>
  <si>
    <t>NB </t>
  </si>
  <si>
    <t>Nova Scotia </t>
  </si>
  <si>
    <t>PEI </t>
  </si>
  <si>
    <t>Newfoundland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</si>
</sst>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name val="Calibri"/>
    </font>
    <font>
      <sz val="11"/>
      <name val="Calibri"/>
    </font>
    <font>
      <sz val="11"/>
      <color theme="1"/>
      <name val="Calibri"/>
    </font>
    <font>
      <b/>
      <sz val="12"/>
      <color theme="1"/>
      <name val="Calibri"/>
    </font>
    <font>
      <b/>
      <sz val="11"/>
      <color theme="1"/>
      <name val="Aptos Narrow"/>
      <family val="2"/>
      <scheme val="minor"/>
    </font>
    <font>
      <sz val="11"/>
      <color rgb="FFFF0000"/>
      <name val="Calibri"/>
      <family val="2"/>
    </font>
    <font>
      <sz val="9"/>
      <color indexed="81"/>
      <name val="Tahoma"/>
      <family val="2"/>
    </font>
    <font>
      <b/>
      <sz val="9"/>
      <color indexed="81"/>
      <name val="Tahoma"/>
      <family val="2"/>
    </font>
    <font>
      <sz val="11"/>
      <color rgb="FFFF0000"/>
      <name val="Calibri"/>
    </font>
    <font>
      <sz val="11"/>
      <color rgb="FFFF0000"/>
      <name val="Aptos Narrow"/>
      <family val="2"/>
      <scheme val="minor"/>
    </font>
    <font>
      <sz val="11"/>
      <color rgb="FF000000"/>
      <name val="Aptos Narrow"/>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theme="6" tint="0.79998168889431442"/>
        <bgColor indexed="64"/>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34">
    <xf numFmtId="0" fontId="0" fillId="0" borderId="0" xfId="0"/>
    <xf numFmtId="0" fontId="1" fillId="0" borderId="2" xfId="0" applyFont="1" applyBorder="1"/>
    <xf numFmtId="0" fontId="3" fillId="0" borderId="2" xfId="0" applyFont="1" applyBorder="1"/>
    <xf numFmtId="0" fontId="1" fillId="0" borderId="1" xfId="0" applyFont="1" applyBorder="1"/>
    <xf numFmtId="0" fontId="3" fillId="0" borderId="1" xfId="0" applyFont="1" applyBorder="1"/>
    <xf numFmtId="0" fontId="4" fillId="0" borderId="2" xfId="0" applyFont="1" applyBorder="1" applyAlignment="1">
      <alignment wrapText="1"/>
    </xf>
    <xf numFmtId="0" fontId="2" fillId="0" borderId="0" xfId="0" applyFont="1"/>
    <xf numFmtId="0" fontId="3" fillId="2" borderId="2" xfId="0" applyFont="1" applyFill="1" applyBorder="1"/>
    <xf numFmtId="0" fontId="5" fillId="0" borderId="2" xfId="0" applyFont="1" applyBorder="1"/>
    <xf numFmtId="0" fontId="0" fillId="0" borderId="2" xfId="0" applyBorder="1"/>
    <xf numFmtId="0" fontId="4" fillId="0" borderId="3" xfId="0" applyFont="1" applyBorder="1" applyAlignment="1">
      <alignment wrapText="1"/>
    </xf>
    <xf numFmtId="0" fontId="3" fillId="0" borderId="3" xfId="0" applyFont="1" applyBorder="1"/>
    <xf numFmtId="0" fontId="3" fillId="0" borderId="4" xfId="0" applyFont="1" applyBorder="1"/>
    <xf numFmtId="0" fontId="4" fillId="0" borderId="5" xfId="0" applyFont="1" applyBorder="1" applyAlignment="1">
      <alignment wrapText="1"/>
    </xf>
    <xf numFmtId="0" fontId="3" fillId="0" borderId="5" xfId="0" applyFont="1" applyBorder="1"/>
    <xf numFmtId="0" fontId="3" fillId="2" borderId="1" xfId="0" applyFont="1" applyFill="1" applyBorder="1"/>
    <xf numFmtId="0" fontId="3" fillId="2" borderId="3" xfId="0" applyFont="1" applyFill="1" applyBorder="1"/>
    <xf numFmtId="0" fontId="0" fillId="2" borderId="2" xfId="0" applyFill="1" applyBorder="1"/>
    <xf numFmtId="0" fontId="3" fillId="2" borderId="5" xfId="0" applyFont="1" applyFill="1" applyBorder="1"/>
    <xf numFmtId="0" fontId="3" fillId="2" borderId="6" xfId="0" applyFont="1" applyFill="1" applyBorder="1"/>
    <xf numFmtId="0" fontId="6" fillId="0" borderId="2" xfId="0" applyFont="1" applyBorder="1"/>
    <xf numFmtId="0" fontId="9" fillId="2" borderId="2" xfId="0" applyFont="1" applyFill="1" applyBorder="1"/>
    <xf numFmtId="0" fontId="0" fillId="2" borderId="1" xfId="0" applyFill="1" applyBorder="1"/>
    <xf numFmtId="0" fontId="3" fillId="0" borderId="6" xfId="0" applyFont="1" applyBorder="1"/>
    <xf numFmtId="0" fontId="0" fillId="0" borderId="1" xfId="0" applyBorder="1"/>
    <xf numFmtId="0" fontId="5" fillId="0" borderId="1" xfId="0" applyFont="1" applyBorder="1"/>
    <xf numFmtId="0" fontId="0" fillId="0" borderId="4" xfId="0" applyBorder="1"/>
    <xf numFmtId="0" fontId="0" fillId="0" borderId="3" xfId="0" applyBorder="1"/>
    <xf numFmtId="0" fontId="10" fillId="0" borderId="1" xfId="0" applyFont="1" applyBorder="1"/>
    <xf numFmtId="0" fontId="9" fillId="0" borderId="2" xfId="0" applyFont="1" applyBorder="1"/>
    <xf numFmtId="0" fontId="10" fillId="0" borderId="2" xfId="0" applyFont="1" applyBorder="1"/>
    <xf numFmtId="0" fontId="11" fillId="2" borderId="1" xfId="0" applyFont="1" applyFill="1" applyBorder="1"/>
    <xf numFmtId="0" fontId="11" fillId="2" borderId="2" xfId="0" applyFont="1" applyFill="1" applyBorder="1"/>
    <xf numFmtId="0" fontId="0" fillId="0" borderId="1" xfId="0"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cKay, Alina" id="{22E16542-C1CF-4EF8-92EF-E9FB681358FC}" userId="S::alina.mckay@ubc.ca::1eeab95a-7b97-4919-b77d-77e587a22ac2" providerId="AD"/>
  <person displayName="sheilaer@student.ubc.ca" id="{95822A44-7792-4645-A52A-65A465820BDE}" userId="S::sheilaer@student.ubc.ca::6a130981-2b5a-4b93-84f3-8d89185973b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2" dT="2026-02-20T19:47:44.51" personId="{95822A44-7792-4645-A52A-65A465820BDE}" id="{9B8E6AE9-7750-4C81-B263-4CABC51ADD3B}">
    <text>under new rubric, bc would be 1</text>
  </threadedComment>
  <threadedComment ref="J2" dT="2026-03-02T19:06:07.41" personId="{22E16542-C1CF-4EF8-92EF-E9FB681358FC}" id="{CA5A3E56-F949-4D62-B11A-6F6159081B35}" parentId="{9B8E6AE9-7750-4C81-B263-4CABC51ADD3B}">
    <text>previously 3</text>
  </threadedComment>
  <threadedComment ref="J3" dT="2026-02-20T19:47:57.07" personId="{95822A44-7792-4645-A52A-65A465820BDE}" id="{2F945AEB-343A-4F7C-875B-167BAA1BDD51}">
    <text xml:space="preserve">under new rubric, AB would be 1
</text>
  </threadedComment>
  <threadedComment ref="J3" dT="2026-03-02T19:06:38.35" personId="{22E16542-C1CF-4EF8-92EF-E9FB681358FC}" id="{62A25A43-851F-4B74-83E6-0616373CC6BB}" parentId="{2F945AEB-343A-4F7C-875B-167BAA1BDD51}">
    <text xml:space="preserve">2 </text>
  </threadedComment>
  <threadedComment ref="J4" dT="2026-02-20T19:53:37.42" personId="{95822A44-7792-4645-A52A-65A465820BDE}" id="{C1DBFDCE-9BA0-4050-A28E-8AC44BEFFC7A}">
    <text>under new rubric, SK is 4 because (automatic stay + &gt;20 days, but accessibility dinged for requiring certificate of payment for non-payment)</text>
  </threadedComment>
  <threadedComment ref="J4" dT="2026-03-04T22:08:04.21" personId="{22E16542-C1CF-4EF8-92EF-E9FB681358FC}" id="{F5AC356A-50DD-4FA5-BDB3-45105DA5A6F9}" parentId="{C1DBFDCE-9BA0-4050-A28E-8AC44BEFFC7A}">
    <text>previously 2</text>
  </threadedComment>
  <threadedComment ref="J6" dT="2026-02-20T19:42:48.14" personId="{95822A44-7792-4645-A52A-65A465820BDE}" id="{8B0CA0D2-E754-4837-96CE-04A286B9134A}">
    <text xml:space="preserve">I changed Ontario to 4 based on the Bill 60 changes
</text>
  </threadedComment>
  <threadedComment ref="J7" dT="2026-02-20T19:54:25.76" personId="{95822A44-7792-4645-A52A-65A465820BDE}" id="{550C749A-C64C-470D-A7CD-6CD81952C08C}">
    <text>under new rubric. QC is 1</text>
  </threadedComment>
  <threadedComment ref="J7" dT="2026-03-04T22:08:34.34" personId="{22E16542-C1CF-4EF8-92EF-E9FB681358FC}" id="{653B8169-366C-4AAE-97FE-1D36318FF36D}" parentId="{550C749A-C64C-470D-A7CD-6CD81952C08C}">
    <text>previously 3</text>
  </threadedComment>
  <threadedComment ref="J8" dT="2026-02-20T19:54:54.92" personId="{95822A44-7792-4645-A52A-65A465820BDE}" id="{680FC9D2-579F-4D86-BF1D-0DAF47E37F1F}">
    <text>under new rubric NB is 3</text>
  </threadedComment>
  <threadedComment ref="J8" dT="2026-03-04T22:09:04.06" personId="{22E16542-C1CF-4EF8-92EF-E9FB681358FC}" id="{3A6B65E3-D4C8-4221-8364-ACF160C2147D}" parentId="{680FC9D2-579F-4D86-BF1D-0DAF47E37F1F}">
    <text>previously 4</text>
  </threadedComment>
  <threadedComment ref="J11" dT="2026-02-20T19:55:42.15" personId="{95822A44-7792-4645-A52A-65A465820BDE}" id="{9575B30C-81CC-4CB1-9FBD-BF8E60729C76}">
    <text>under new rubric, NLL is 2</text>
  </threadedComment>
  <threadedComment ref="J11" dT="2026-03-04T22:09:21.46" personId="{22E16542-C1CF-4EF8-92EF-E9FB681358FC}" id="{EE982C1C-AD31-4FFD-80E1-BE54C24BD2EE}" parentId="{9575B30C-81CC-4CB1-9FBD-BF8E60729C76}">
    <text>previously 3</text>
  </threadedComment>
  <threadedComment ref="M12" dT="2026-03-04T22:26:12.32" personId="{22E16542-C1CF-4EF8-92EF-E9FB681358FC}" id="{9FA90662-72F6-46EA-93A8-E1DF7048B783}">
    <text>Changing this from 5 to 4 because deemed renewal only applies if there is not an agreed upon move out date s. 44(2)</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tabSelected="1" workbookViewId="0">
      <selection activeCell="M12" sqref="M12"/>
    </sheetView>
  </sheetViews>
  <sheetFormatPr defaultColWidth="15.7109375" defaultRowHeight="14.25"/>
  <cols>
    <col min="1" max="1" width="18.85546875" customWidth="1"/>
  </cols>
  <sheetData>
    <row r="1" spans="1:13" ht="31.5">
      <c r="A1" s="5" t="s">
        <v>0</v>
      </c>
      <c r="B1" s="5" t="s">
        <v>1</v>
      </c>
      <c r="C1" s="5" t="s">
        <v>2</v>
      </c>
      <c r="D1" s="5" t="s">
        <v>3</v>
      </c>
      <c r="E1" s="10" t="s">
        <v>4</v>
      </c>
      <c r="F1" s="5" t="s">
        <v>5</v>
      </c>
      <c r="G1" s="8" t="s">
        <v>6</v>
      </c>
      <c r="H1" s="5" t="s">
        <v>7</v>
      </c>
      <c r="I1" s="13" t="s">
        <v>8</v>
      </c>
      <c r="J1" s="5" t="s">
        <v>9</v>
      </c>
      <c r="K1" s="10" t="s">
        <v>10</v>
      </c>
      <c r="L1" s="5" t="s">
        <v>11</v>
      </c>
      <c r="M1" s="8" t="s">
        <v>12</v>
      </c>
    </row>
    <row r="2" spans="1:13" ht="20.25" customHeight="1">
      <c r="A2" s="1" t="s">
        <v>13</v>
      </c>
      <c r="B2" s="2">
        <f>4.4</f>
        <v>4.4000000000000004</v>
      </c>
      <c r="C2" s="2">
        <v>3</v>
      </c>
      <c r="D2" s="2">
        <v>4</v>
      </c>
      <c r="E2" s="16">
        <v>5</v>
      </c>
      <c r="F2" s="7">
        <v>4</v>
      </c>
      <c r="G2" s="17">
        <v>4</v>
      </c>
      <c r="H2" s="2">
        <v>3</v>
      </c>
      <c r="I2" s="14">
        <v>4</v>
      </c>
      <c r="J2" s="2">
        <v>1</v>
      </c>
      <c r="K2" s="11">
        <v>1</v>
      </c>
      <c r="L2" s="2">
        <v>1</v>
      </c>
      <c r="M2" s="17">
        <v>5</v>
      </c>
    </row>
    <row r="3" spans="1:13" ht="20.25" customHeight="1">
      <c r="A3" s="1" t="s">
        <v>14</v>
      </c>
      <c r="B3" s="2">
        <v>3.2</v>
      </c>
      <c r="C3" s="2">
        <v>3</v>
      </c>
      <c r="D3" s="2">
        <v>4</v>
      </c>
      <c r="E3" s="11">
        <v>3</v>
      </c>
      <c r="F3" s="2">
        <v>1</v>
      </c>
      <c r="G3" s="9">
        <v>1</v>
      </c>
      <c r="H3" s="2">
        <v>3</v>
      </c>
      <c r="I3" s="14">
        <v>2</v>
      </c>
      <c r="J3" s="2">
        <v>1</v>
      </c>
      <c r="K3" s="11">
        <v>3</v>
      </c>
      <c r="L3" s="7">
        <v>4</v>
      </c>
      <c r="M3" s="9">
        <v>1</v>
      </c>
    </row>
    <row r="4" spans="1:13" ht="20.25" customHeight="1">
      <c r="A4" s="1" t="s">
        <v>15</v>
      </c>
      <c r="B4" s="2">
        <v>4.2</v>
      </c>
      <c r="C4" s="2">
        <v>4</v>
      </c>
      <c r="D4" s="2">
        <v>4</v>
      </c>
      <c r="E4" s="11">
        <v>3</v>
      </c>
      <c r="F4" s="2">
        <v>1</v>
      </c>
      <c r="G4" s="9">
        <v>1</v>
      </c>
      <c r="H4" s="2">
        <v>3</v>
      </c>
      <c r="I4" s="14">
        <v>3</v>
      </c>
      <c r="J4" s="7">
        <v>4</v>
      </c>
      <c r="K4" s="11">
        <v>4</v>
      </c>
      <c r="L4" s="7">
        <v>4</v>
      </c>
      <c r="M4" s="9">
        <v>1</v>
      </c>
    </row>
    <row r="5" spans="1:13" ht="20.25" customHeight="1">
      <c r="A5" s="1" t="s">
        <v>16</v>
      </c>
      <c r="B5" s="2">
        <v>4.8</v>
      </c>
      <c r="C5" s="2">
        <v>2</v>
      </c>
      <c r="D5" s="2">
        <v>3</v>
      </c>
      <c r="E5" s="11">
        <v>4</v>
      </c>
      <c r="F5" s="2">
        <v>3</v>
      </c>
      <c r="G5" s="17">
        <v>5</v>
      </c>
      <c r="H5" s="20">
        <v>4</v>
      </c>
      <c r="I5" s="14">
        <v>3</v>
      </c>
      <c r="J5" s="2">
        <v>3</v>
      </c>
      <c r="K5" s="11">
        <v>3</v>
      </c>
      <c r="L5" s="2">
        <v>3</v>
      </c>
      <c r="M5" s="9">
        <v>4</v>
      </c>
    </row>
    <row r="6" spans="1:13" ht="20.25" customHeight="1">
      <c r="A6" s="1" t="s">
        <v>17</v>
      </c>
      <c r="B6" s="2">
        <v>4.2</v>
      </c>
      <c r="C6" s="2">
        <v>4</v>
      </c>
      <c r="D6" s="2">
        <v>4</v>
      </c>
      <c r="E6" s="11">
        <v>3</v>
      </c>
      <c r="F6" s="2">
        <v>3</v>
      </c>
      <c r="G6" s="9">
        <v>3</v>
      </c>
      <c r="H6" s="2">
        <v>3</v>
      </c>
      <c r="I6" s="14">
        <v>4</v>
      </c>
      <c r="J6" s="21">
        <v>4</v>
      </c>
      <c r="K6" s="16">
        <v>5</v>
      </c>
      <c r="L6" s="7">
        <v>4</v>
      </c>
      <c r="M6" s="17">
        <v>5</v>
      </c>
    </row>
    <row r="7" spans="1:13" ht="20.25" customHeight="1">
      <c r="A7" s="1" t="s">
        <v>18</v>
      </c>
      <c r="B7" s="7">
        <v>5.8</v>
      </c>
      <c r="C7">
        <v>4</v>
      </c>
      <c r="D7" s="2">
        <v>3</v>
      </c>
      <c r="E7" s="11">
        <v>4</v>
      </c>
      <c r="F7" s="2">
        <v>3</v>
      </c>
      <c r="G7" s="9">
        <v>2</v>
      </c>
      <c r="H7" s="7">
        <v>4</v>
      </c>
      <c r="I7" s="18">
        <v>5</v>
      </c>
      <c r="J7" s="2">
        <v>1</v>
      </c>
      <c r="K7" s="11">
        <v>4</v>
      </c>
      <c r="L7" s="2">
        <v>3</v>
      </c>
      <c r="M7" s="9">
        <v>4</v>
      </c>
    </row>
    <row r="8" spans="1:13" ht="20.25" customHeight="1">
      <c r="A8" s="1" t="s">
        <v>19</v>
      </c>
      <c r="B8" s="2">
        <v>4</v>
      </c>
      <c r="C8" s="2">
        <v>4</v>
      </c>
      <c r="D8" s="2">
        <v>1</v>
      </c>
      <c r="E8" s="11">
        <v>2</v>
      </c>
      <c r="F8" s="2">
        <v>3</v>
      </c>
      <c r="G8" s="9">
        <v>3</v>
      </c>
      <c r="H8" s="2">
        <v>3</v>
      </c>
      <c r="I8" s="14">
        <v>3</v>
      </c>
      <c r="J8" s="2">
        <v>3</v>
      </c>
      <c r="K8" s="11">
        <v>2</v>
      </c>
      <c r="L8" s="29">
        <v>1</v>
      </c>
      <c r="M8" s="9">
        <v>1</v>
      </c>
    </row>
    <row r="9" spans="1:13" ht="20.25" customHeight="1">
      <c r="A9" s="3" t="s">
        <v>20</v>
      </c>
      <c r="B9" s="4">
        <v>4.2</v>
      </c>
      <c r="C9" s="4">
        <v>3</v>
      </c>
      <c r="D9" s="15">
        <v>5</v>
      </c>
      <c r="E9" s="12">
        <v>3</v>
      </c>
      <c r="F9" s="2">
        <v>1</v>
      </c>
      <c r="G9" s="9">
        <v>1</v>
      </c>
      <c r="H9" s="2">
        <v>3</v>
      </c>
      <c r="I9" s="19">
        <v>5</v>
      </c>
      <c r="J9" s="15">
        <v>4</v>
      </c>
      <c r="K9" s="12">
        <v>3</v>
      </c>
      <c r="L9" s="2">
        <v>1</v>
      </c>
      <c r="M9" s="9">
        <v>2</v>
      </c>
    </row>
    <row r="10" spans="1:13" ht="20.25" customHeight="1">
      <c r="A10" s="3" t="s">
        <v>21</v>
      </c>
      <c r="B10" s="15">
        <v>5.2</v>
      </c>
      <c r="C10" s="4">
        <v>4</v>
      </c>
      <c r="D10" s="4">
        <v>4</v>
      </c>
      <c r="E10" s="12">
        <v>3</v>
      </c>
      <c r="F10" s="15">
        <v>5</v>
      </c>
      <c r="G10" s="22">
        <v>4</v>
      </c>
      <c r="H10" s="4">
        <v>3</v>
      </c>
      <c r="I10" s="23">
        <v>4</v>
      </c>
      <c r="J10" s="15">
        <v>5</v>
      </c>
      <c r="K10" s="12">
        <v>2</v>
      </c>
      <c r="L10" s="4">
        <v>2</v>
      </c>
      <c r="M10" s="22">
        <v>5</v>
      </c>
    </row>
    <row r="11" spans="1:13" ht="20.25" customHeight="1">
      <c r="A11" s="1" t="s">
        <v>22</v>
      </c>
      <c r="B11" s="2">
        <v>3.2</v>
      </c>
      <c r="C11" s="2">
        <v>4</v>
      </c>
      <c r="D11" s="2">
        <v>4</v>
      </c>
      <c r="E11" s="2">
        <v>3</v>
      </c>
      <c r="F11" s="2">
        <v>1</v>
      </c>
      <c r="G11" s="9">
        <v>1</v>
      </c>
      <c r="H11" s="20">
        <v>1</v>
      </c>
      <c r="I11" s="2">
        <v>3</v>
      </c>
      <c r="J11" s="2">
        <v>2</v>
      </c>
      <c r="K11" s="2">
        <v>4</v>
      </c>
      <c r="L11" s="2">
        <v>1</v>
      </c>
      <c r="M11" s="9">
        <v>4</v>
      </c>
    </row>
    <row r="12" spans="1:13" ht="15">
      <c r="A12" s="8" t="s">
        <v>23</v>
      </c>
      <c r="B12" s="9">
        <v>4.8</v>
      </c>
      <c r="C12" s="9">
        <v>3</v>
      </c>
      <c r="D12" s="9">
        <v>4</v>
      </c>
      <c r="E12" s="9">
        <v>3</v>
      </c>
      <c r="F12" s="30">
        <v>4</v>
      </c>
      <c r="G12" s="28">
        <v>4</v>
      </c>
      <c r="H12" s="24">
        <v>3</v>
      </c>
      <c r="I12" s="24">
        <v>4</v>
      </c>
      <c r="J12" s="24">
        <v>2</v>
      </c>
      <c r="K12" s="24">
        <v>2</v>
      </c>
      <c r="L12" s="28">
        <v>1</v>
      </c>
      <c r="M12" s="33">
        <v>4</v>
      </c>
    </row>
    <row r="13" spans="1:13" ht="15">
      <c r="A13" s="25" t="s">
        <v>24</v>
      </c>
      <c r="B13" s="24">
        <v>4.4000000000000004</v>
      </c>
      <c r="C13" s="31">
        <v>5</v>
      </c>
      <c r="D13" s="24">
        <v>4</v>
      </c>
      <c r="E13" s="24">
        <v>3</v>
      </c>
      <c r="F13" s="26">
        <v>1</v>
      </c>
      <c r="G13" s="9">
        <v>1</v>
      </c>
      <c r="H13" s="9">
        <v>3</v>
      </c>
      <c r="I13" s="9">
        <v>1</v>
      </c>
      <c r="J13" s="9">
        <v>2</v>
      </c>
      <c r="K13" s="9">
        <v>2</v>
      </c>
      <c r="L13" s="9">
        <v>3</v>
      </c>
      <c r="M13" s="17">
        <v>5</v>
      </c>
    </row>
    <row r="14" spans="1:13" ht="15">
      <c r="A14" s="8" t="s">
        <v>25</v>
      </c>
      <c r="B14" s="9">
        <v>4.4000000000000004</v>
      </c>
      <c r="C14" s="32">
        <v>5</v>
      </c>
      <c r="D14" s="9">
        <v>4</v>
      </c>
      <c r="E14" s="9">
        <v>3</v>
      </c>
      <c r="F14" s="27">
        <v>1</v>
      </c>
      <c r="G14" s="9">
        <v>1</v>
      </c>
      <c r="H14" s="9">
        <v>3</v>
      </c>
      <c r="I14" s="9">
        <v>1</v>
      </c>
      <c r="J14" s="9">
        <v>3</v>
      </c>
      <c r="K14" s="9">
        <v>3</v>
      </c>
      <c r="L14" s="9">
        <v>1</v>
      </c>
      <c r="M14" s="17">
        <v>5</v>
      </c>
    </row>
    <row r="16" spans="1:13">
      <c r="A16" t="s">
        <v>1</v>
      </c>
      <c r="B16" t="s">
        <v>26</v>
      </c>
      <c r="C16" t="s">
        <v>27</v>
      </c>
      <c r="D16" t="s">
        <v>28</v>
      </c>
      <c r="E16" t="s">
        <v>29</v>
      </c>
    </row>
    <row r="17" spans="1:5">
      <c r="A17" t="s">
        <v>30</v>
      </c>
      <c r="B17">
        <f>3 + 5 + 4 + 4+ 1</f>
        <v>17</v>
      </c>
      <c r="C17">
        <f t="shared" ref="C17:C26" si="0">B17/5</f>
        <v>3.4</v>
      </c>
      <c r="D17">
        <v>1</v>
      </c>
      <c r="E17">
        <v>0</v>
      </c>
    </row>
    <row r="18" spans="1:5">
      <c r="A18" t="s">
        <v>31</v>
      </c>
      <c r="B18">
        <f>3+4+4+4+1</f>
        <v>16</v>
      </c>
      <c r="C18">
        <f t="shared" si="0"/>
        <v>3.2</v>
      </c>
      <c r="D18">
        <v>0</v>
      </c>
      <c r="E18">
        <v>0</v>
      </c>
    </row>
    <row r="19" spans="1:5" ht="15">
      <c r="A19" s="6" t="s">
        <v>32</v>
      </c>
      <c r="B19">
        <f>4+3+2+4+3</f>
        <v>16</v>
      </c>
      <c r="C19">
        <f t="shared" si="0"/>
        <v>3.2</v>
      </c>
      <c r="D19">
        <v>1</v>
      </c>
      <c r="E19">
        <v>0</v>
      </c>
    </row>
    <row r="20" spans="1:5" ht="15">
      <c r="A20" s="6" t="s">
        <v>33</v>
      </c>
      <c r="B20">
        <f>1+4+4+3+2</f>
        <v>14</v>
      </c>
      <c r="C20">
        <f t="shared" si="0"/>
        <v>2.8</v>
      </c>
      <c r="E20">
        <v>1</v>
      </c>
    </row>
    <row r="21" spans="1:5" ht="15">
      <c r="A21" s="6" t="s">
        <v>34</v>
      </c>
      <c r="B21">
        <f>3+3+3+4+3</f>
        <v>16</v>
      </c>
      <c r="C21">
        <f t="shared" si="0"/>
        <v>3.2</v>
      </c>
      <c r="D21">
        <v>1</v>
      </c>
      <c r="E21">
        <v>0</v>
      </c>
    </row>
    <row r="22" spans="1:5" ht="15">
      <c r="A22" s="6" t="s">
        <v>35</v>
      </c>
      <c r="B22">
        <f>5+5+5+5+4</f>
        <v>24</v>
      </c>
      <c r="C22">
        <f t="shared" si="0"/>
        <v>4.8</v>
      </c>
      <c r="D22">
        <v>0</v>
      </c>
      <c r="E22">
        <v>1</v>
      </c>
    </row>
    <row r="23" spans="1:5" ht="15">
      <c r="A23" s="6" t="s">
        <v>36</v>
      </c>
      <c r="B23">
        <f>4+3+3+3+2</f>
        <v>15</v>
      </c>
      <c r="C23">
        <f t="shared" si="0"/>
        <v>3</v>
      </c>
      <c r="D23">
        <v>1</v>
      </c>
      <c r="E23">
        <v>0</v>
      </c>
    </row>
    <row r="24" spans="1:5" ht="15">
      <c r="A24" s="6" t="s">
        <v>37</v>
      </c>
      <c r="B24">
        <f>4+3+3+3+3</f>
        <v>16</v>
      </c>
      <c r="C24">
        <f t="shared" si="0"/>
        <v>3.2</v>
      </c>
      <c r="D24">
        <v>1</v>
      </c>
      <c r="E24">
        <v>0</v>
      </c>
    </row>
    <row r="25" spans="1:5" ht="15">
      <c r="A25" s="6" t="s">
        <v>38</v>
      </c>
      <c r="B25">
        <f>4+5+3+5+4</f>
        <v>21</v>
      </c>
      <c r="C25">
        <f t="shared" si="0"/>
        <v>4.2</v>
      </c>
      <c r="D25">
        <v>1</v>
      </c>
      <c r="E25">
        <v>0</v>
      </c>
    </row>
    <row r="26" spans="1:5" ht="15">
      <c r="A26" s="6" t="s">
        <v>39</v>
      </c>
      <c r="B26">
        <f>3+4+4+3+2</f>
        <v>16</v>
      </c>
      <c r="C26">
        <f t="shared" si="0"/>
        <v>3.2</v>
      </c>
      <c r="D26">
        <v>0</v>
      </c>
      <c r="E26">
        <v>0</v>
      </c>
    </row>
    <row r="27" spans="1:5">
      <c r="A27" t="s">
        <v>23</v>
      </c>
      <c r="B27">
        <f>3+4+4+4+4</f>
        <v>19</v>
      </c>
      <c r="C27">
        <f>B27/5</f>
        <v>3.8</v>
      </c>
      <c r="D27">
        <v>0</v>
      </c>
      <c r="E27">
        <v>1</v>
      </c>
    </row>
    <row r="28" spans="1:5">
      <c r="A28" t="s">
        <v>24</v>
      </c>
      <c r="B28">
        <f>3+3+3+4+4</f>
        <v>17</v>
      </c>
      <c r="C28">
        <f>B28/5</f>
        <v>3.4</v>
      </c>
      <c r="D28">
        <v>0</v>
      </c>
      <c r="E28">
        <v>1</v>
      </c>
    </row>
    <row r="29" spans="1:5">
      <c r="A29" t="s">
        <v>25</v>
      </c>
      <c r="B29">
        <f>3+3+3+4+4</f>
        <v>17</v>
      </c>
      <c r="C29">
        <f>B29/5</f>
        <v>3.4</v>
      </c>
      <c r="D29">
        <v>0</v>
      </c>
      <c r="E29">
        <v>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5FB9A6467400499F715C39AF11DE9F" ma:contentTypeVersion="13" ma:contentTypeDescription="Create a new document." ma:contentTypeScope="" ma:versionID="beb944b97b45b7dc3afe7c1f121ad35d">
  <xsd:schema xmlns:xsd="http://www.w3.org/2001/XMLSchema" xmlns:xs="http://www.w3.org/2001/XMLSchema" xmlns:p="http://schemas.microsoft.com/office/2006/metadata/properties" xmlns:ns2="150b1219-d9da-4445-ad36-ec21261c5d4f" xmlns:ns3="9a572b76-45b8-4b32-b389-402f41bb30aa" targetNamespace="http://schemas.microsoft.com/office/2006/metadata/properties" ma:root="true" ma:fieldsID="4a2d8bbf5c9c296723b0d0b912407f52" ns2:_="" ns3:_="">
    <xsd:import namespace="150b1219-d9da-4445-ad36-ec21261c5d4f"/>
    <xsd:import namespace="9a572b76-45b8-4b32-b389-402f41bb3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0b1219-d9da-4445-ad36-ec21261c5d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a1f1625-ae5f-4790-9429-a47075c1c37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572b76-45b8-4b32-b389-402f41bb30a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83a1a11-ef65-432d-940b-f80479064023}" ma:internalName="TaxCatchAll" ma:showField="CatchAllData" ma:web="9a572b76-45b8-4b32-b389-402f41bb3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50b1219-d9da-4445-ad36-ec21261c5d4f">
      <Terms xmlns="http://schemas.microsoft.com/office/infopath/2007/PartnerControls"/>
    </lcf76f155ced4ddcb4097134ff3c332f>
    <TaxCatchAll xmlns="9a572b76-45b8-4b32-b389-402f41bb30a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076FF0-1437-48FC-BEAD-59A969181112}"/>
</file>

<file path=customXml/itemProps2.xml><?xml version="1.0" encoding="utf-8"?>
<ds:datastoreItem xmlns:ds="http://schemas.openxmlformats.org/officeDocument/2006/customXml" ds:itemID="{629D7580-B628-4EE9-9F3D-FCB6F796078C}"/>
</file>

<file path=customXml/itemProps3.xml><?xml version="1.0" encoding="utf-8"?>
<ds:datastoreItem xmlns:ds="http://schemas.openxmlformats.org/officeDocument/2006/customXml" ds:itemID="{2842CE9E-1CF8-4E25-9D7A-313F7FCCE2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McKay, Alina</dc:creator>
  <cp:keywords/>
  <dc:description/>
  <cp:lastModifiedBy>McKay, Alina</cp:lastModifiedBy>
  <cp:revision/>
  <dcterms:created xsi:type="dcterms:W3CDTF">2025-06-27T20:51:07Z</dcterms:created>
  <dcterms:modified xsi:type="dcterms:W3CDTF">2026-03-04T22:27:21Z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0x0101003A5FB9A6467400499F715C39AF11DE9F</vt:lpwstr>
  </property>
  <property fmtid="{D5CDD505-2E9C-101B-9397-08002B2CF9AE}" pid="3" name="MediaServiceImageTags">
    <vt:lpwstr/>
  </property>
</Properties>
</file>