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/>
  <mc:AlternateContent xmlns:mc="http://schemas.openxmlformats.org/markup-compatibility/2006">
    <mc:Choice Requires="x15">
      <x15ac:absPath xmlns:x15ac="http://schemas.microsoft.com/office/spreadsheetml/2010/11/ac" url="/Users/garvitkumarkalra/Documents/HRC/Eviction Map/"/>
    </mc:Choice>
  </mc:AlternateContent>
  <xr:revisionPtr revIDLastSave="0" documentId="8_{3D68F114-FA7F-DE4C-AD54-D4CB5F4E265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2" i="1"/>
  <c r="B19" i="1"/>
  <c r="C19" i="1" s="1"/>
  <c r="B23" i="1"/>
  <c r="C23" i="1" s="1"/>
  <c r="B22" i="1"/>
  <c r="C22" i="1" s="1"/>
  <c r="B21" i="1"/>
  <c r="C21" i="1" s="1"/>
  <c r="B20" i="1"/>
  <c r="C20" i="1"/>
  <c r="B18" i="1"/>
  <c r="C18" i="1" s="1"/>
  <c r="B17" i="1"/>
  <c r="C17" i="1"/>
  <c r="B16" i="1"/>
  <c r="C16" i="1" s="1"/>
  <c r="B15" i="1"/>
  <c r="C15" i="1" s="1"/>
  <c r="C14" i="1"/>
</calcChain>
</file>

<file path=xl/sharedStrings.xml><?xml version="1.0" encoding="utf-8"?>
<sst xmlns="http://schemas.openxmlformats.org/spreadsheetml/2006/main" count="37" uniqueCount="36">
  <si>
    <t>Province</t>
  </si>
  <si>
    <t>Notice of Termination</t>
  </si>
  <si>
    <t>Dispute Period</t>
  </si>
  <si>
    <t>Hearing &amp; Decision</t>
  </si>
  <si>
    <t>Order of Possession</t>
  </si>
  <si>
    <t>Rent Control</t>
  </si>
  <si>
    <t>AGI</t>
  </si>
  <si>
    <t>Eviction Types</t>
  </si>
  <si>
    <t>Compensation</t>
  </si>
  <si>
    <t>Appeal</t>
  </si>
  <si>
    <t>Onus &amp; Filing Fee</t>
  </si>
  <si>
    <t>Conditional Orders</t>
  </si>
  <si>
    <r>
      <t>BC</t>
    </r>
    <r>
      <rPr>
        <sz val="11"/>
        <rFont val="Calibri"/>
        <family val="2"/>
      </rPr>
      <t> </t>
    </r>
  </si>
  <si>
    <r>
      <t>Alberta</t>
    </r>
    <r>
      <rPr>
        <sz val="11"/>
        <rFont val="Calibri"/>
        <family val="2"/>
      </rPr>
      <t> </t>
    </r>
  </si>
  <si>
    <r>
      <t>Sask</t>
    </r>
    <r>
      <rPr>
        <sz val="11"/>
        <rFont val="Calibri"/>
        <family val="2"/>
      </rPr>
      <t> </t>
    </r>
  </si>
  <si>
    <r>
      <t>Manitoba</t>
    </r>
    <r>
      <rPr>
        <sz val="11"/>
        <rFont val="Calibri"/>
        <family val="2"/>
      </rPr>
      <t> </t>
    </r>
  </si>
  <si>
    <r>
      <t>Ontario</t>
    </r>
    <r>
      <rPr>
        <sz val="11"/>
        <rFont val="Calibri"/>
        <family val="2"/>
      </rPr>
      <t> </t>
    </r>
  </si>
  <si>
    <r>
      <t>Quebec</t>
    </r>
    <r>
      <rPr>
        <sz val="11"/>
        <rFont val="Calibri"/>
        <family val="2"/>
      </rPr>
      <t> </t>
    </r>
  </si>
  <si>
    <r>
      <t>NB</t>
    </r>
    <r>
      <rPr>
        <sz val="11"/>
        <rFont val="Calibri"/>
        <family val="2"/>
      </rPr>
      <t> </t>
    </r>
  </si>
  <si>
    <r>
      <t>Nova Scotia</t>
    </r>
    <r>
      <rPr>
        <sz val="11"/>
        <rFont val="Calibri"/>
        <family val="2"/>
      </rPr>
      <t> </t>
    </r>
  </si>
  <si>
    <r>
      <t>PEI</t>
    </r>
    <r>
      <rPr>
        <sz val="11"/>
        <rFont val="Calibri"/>
        <family val="2"/>
      </rPr>
      <t> </t>
    </r>
  </si>
  <si>
    <r>
      <t>Newfoundland</t>
    </r>
    <r>
      <rPr>
        <sz val="11"/>
        <rFont val="Calibri"/>
        <family val="2"/>
      </rPr>
      <t> </t>
    </r>
  </si>
  <si>
    <t>Total</t>
  </si>
  <si>
    <t>Average</t>
  </si>
  <si>
    <t>Good Faith</t>
  </si>
  <si>
    <t>Protected Group</t>
  </si>
  <si>
    <t xml:space="preserve">BC </t>
  </si>
  <si>
    <t xml:space="preserve">Alberta </t>
  </si>
  <si>
    <t>Sask </t>
  </si>
  <si>
    <t>Manitoba </t>
  </si>
  <si>
    <t>Ontario </t>
  </si>
  <si>
    <t>Quebec </t>
  </si>
  <si>
    <t>NB </t>
  </si>
  <si>
    <t>Nova Scotia </t>
  </si>
  <si>
    <t>PEI </t>
  </si>
  <si>
    <t>Newfoundland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</si>
</sst>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2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1" xfId="0" applyFont="1" applyBorder="1"/>
    <xf numFmtId="0" fontId="4" fillId="0" borderId="2" xfId="0" applyFont="1" applyBorder="1" applyAlignment="1">
      <alignment wrapText="1"/>
    </xf>
    <xf numFmtId="0" fontId="2" fillId="0" borderId="0" xfId="0" applyFont="1"/>
    <xf numFmtId="0" fontId="3" fillId="2" borderId="2" xfId="0" applyFont="1" applyFill="1" applyBorder="1"/>
    <xf numFmtId="0" fontId="5" fillId="0" borderId="2" xfId="0" applyFont="1" applyBorder="1"/>
    <xf numFmtId="0" fontId="0" fillId="0" borderId="2" xfId="0" applyBorder="1"/>
    <xf numFmtId="0" fontId="4" fillId="0" borderId="3" xfId="0" applyFont="1" applyBorder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4" fillId="0" borderId="5" xfId="0" applyFont="1" applyBorder="1" applyAlignment="1">
      <alignment wrapText="1"/>
    </xf>
    <xf numFmtId="0" fontId="3" fillId="0" borderId="5" xfId="0" applyFont="1" applyBorder="1"/>
    <xf numFmtId="0" fontId="0" fillId="2" borderId="0" xfId="0" applyFill="1"/>
    <xf numFmtId="0" fontId="3" fillId="2" borderId="1" xfId="0" applyFont="1" applyFill="1" applyBorder="1"/>
    <xf numFmtId="0" fontId="3" fillId="2" borderId="3" xfId="0" applyFont="1" applyFill="1" applyBorder="1"/>
    <xf numFmtId="0" fontId="0" fillId="2" borderId="2" xfId="0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K6" sqref="K6"/>
    </sheetView>
  </sheetViews>
  <sheetFormatPr baseColWidth="10" defaultColWidth="15.6640625" defaultRowHeight="15" x14ac:dyDescent="0.2"/>
  <cols>
    <col min="1" max="1" width="18.83203125" customWidth="1"/>
  </cols>
  <sheetData>
    <row r="1" spans="1:12" ht="34" x14ac:dyDescent="0.2">
      <c r="A1" s="5" t="s">
        <v>0</v>
      </c>
      <c r="B1" s="5" t="s">
        <v>1</v>
      </c>
      <c r="C1" s="5" t="s">
        <v>2</v>
      </c>
      <c r="D1" s="5" t="s">
        <v>3</v>
      </c>
      <c r="E1" s="10" t="s">
        <v>4</v>
      </c>
      <c r="F1" s="5" t="s">
        <v>5</v>
      </c>
      <c r="G1" s="8" t="s">
        <v>6</v>
      </c>
      <c r="H1" s="5" t="s">
        <v>7</v>
      </c>
      <c r="I1" s="13" t="s">
        <v>8</v>
      </c>
      <c r="J1" s="5" t="s">
        <v>9</v>
      </c>
      <c r="K1" s="5" t="s">
        <v>10</v>
      </c>
      <c r="L1" s="5" t="s">
        <v>11</v>
      </c>
    </row>
    <row r="2" spans="1:12" ht="20.25" customHeight="1" x14ac:dyDescent="0.2">
      <c r="A2" s="1" t="s">
        <v>12</v>
      </c>
      <c r="B2" s="2">
        <f>4.4</f>
        <v>4.4000000000000004</v>
      </c>
      <c r="C2" s="2">
        <v>4</v>
      </c>
      <c r="D2" s="2">
        <v>4</v>
      </c>
      <c r="E2" s="17">
        <v>5</v>
      </c>
      <c r="F2" s="7">
        <v>4</v>
      </c>
      <c r="G2" s="18">
        <v>4</v>
      </c>
      <c r="H2" s="2">
        <v>3</v>
      </c>
      <c r="I2" s="14">
        <v>4</v>
      </c>
      <c r="J2" s="2">
        <v>3</v>
      </c>
      <c r="K2" s="2">
        <v>1</v>
      </c>
      <c r="L2" s="2">
        <v>1</v>
      </c>
    </row>
    <row r="3" spans="1:12" ht="20.25" customHeight="1" x14ac:dyDescent="0.2">
      <c r="A3" s="1" t="s">
        <v>13</v>
      </c>
      <c r="B3" s="2">
        <v>3.2</v>
      </c>
      <c r="C3" s="2">
        <v>4</v>
      </c>
      <c r="D3" s="2">
        <v>4</v>
      </c>
      <c r="E3" s="11">
        <v>3</v>
      </c>
      <c r="F3" s="2">
        <v>1</v>
      </c>
      <c r="G3" s="9">
        <v>1</v>
      </c>
      <c r="H3" s="2">
        <v>3</v>
      </c>
      <c r="I3" s="14">
        <v>2</v>
      </c>
      <c r="J3" s="2">
        <v>2</v>
      </c>
      <c r="K3" s="2">
        <v>3</v>
      </c>
      <c r="L3" s="7">
        <v>4</v>
      </c>
    </row>
    <row r="4" spans="1:12" ht="20.25" customHeight="1" x14ac:dyDescent="0.2">
      <c r="A4" s="1" t="s">
        <v>14</v>
      </c>
      <c r="B4" s="2">
        <v>4.2</v>
      </c>
      <c r="C4" s="7">
        <v>5</v>
      </c>
      <c r="D4" s="2">
        <v>4</v>
      </c>
      <c r="E4" s="11">
        <v>3</v>
      </c>
      <c r="F4" s="2">
        <v>1</v>
      </c>
      <c r="G4" s="9">
        <v>1</v>
      </c>
      <c r="H4" s="2">
        <v>3</v>
      </c>
      <c r="I4" s="14">
        <v>3</v>
      </c>
      <c r="J4" s="21">
        <v>2</v>
      </c>
      <c r="K4" s="2">
        <v>4</v>
      </c>
      <c r="L4" s="7">
        <v>4</v>
      </c>
    </row>
    <row r="5" spans="1:12" ht="20.25" customHeight="1" x14ac:dyDescent="0.2">
      <c r="A5" s="1" t="s">
        <v>15</v>
      </c>
      <c r="B5" s="2">
        <v>4.8</v>
      </c>
      <c r="C5" s="2">
        <v>2</v>
      </c>
      <c r="D5" s="2">
        <v>3</v>
      </c>
      <c r="E5" s="11">
        <v>4</v>
      </c>
      <c r="F5" s="2">
        <v>3</v>
      </c>
      <c r="G5" s="18">
        <v>5</v>
      </c>
      <c r="H5" s="2">
        <v>3</v>
      </c>
      <c r="I5" s="14">
        <v>3</v>
      </c>
      <c r="J5" s="7">
        <v>4</v>
      </c>
      <c r="K5" s="2">
        <v>3</v>
      </c>
      <c r="L5" s="2">
        <v>3</v>
      </c>
    </row>
    <row r="6" spans="1:12" ht="20.25" customHeight="1" x14ac:dyDescent="0.2">
      <c r="A6" s="1" t="s">
        <v>16</v>
      </c>
      <c r="B6" s="2">
        <v>4.2</v>
      </c>
      <c r="C6" s="7">
        <v>5</v>
      </c>
      <c r="D6" s="2">
        <v>4</v>
      </c>
      <c r="E6" s="11">
        <v>3</v>
      </c>
      <c r="F6" s="2">
        <v>3</v>
      </c>
      <c r="G6" s="9">
        <v>3</v>
      </c>
      <c r="H6" s="2">
        <v>3</v>
      </c>
      <c r="I6" s="14">
        <v>4</v>
      </c>
      <c r="J6" s="7">
        <v>5</v>
      </c>
      <c r="K6" s="7">
        <v>5</v>
      </c>
      <c r="L6" s="7">
        <v>4</v>
      </c>
    </row>
    <row r="7" spans="1:12" ht="20.25" customHeight="1" x14ac:dyDescent="0.2">
      <c r="A7" s="1" t="s">
        <v>17</v>
      </c>
      <c r="B7" s="7">
        <v>5.8</v>
      </c>
      <c r="C7" s="15">
        <v>5</v>
      </c>
      <c r="D7" s="2">
        <v>3</v>
      </c>
      <c r="E7" s="11">
        <v>4</v>
      </c>
      <c r="F7" s="2">
        <v>3</v>
      </c>
      <c r="G7" s="9">
        <v>2</v>
      </c>
      <c r="H7" s="7">
        <v>4</v>
      </c>
      <c r="I7" s="19">
        <v>5</v>
      </c>
      <c r="J7" s="2">
        <v>3</v>
      </c>
      <c r="K7" s="2">
        <v>4</v>
      </c>
      <c r="L7" s="2">
        <v>3</v>
      </c>
    </row>
    <row r="8" spans="1:12" ht="20.25" customHeight="1" x14ac:dyDescent="0.2">
      <c r="A8" s="1" t="s">
        <v>18</v>
      </c>
      <c r="B8" s="2">
        <v>4</v>
      </c>
      <c r="C8" s="7">
        <v>5</v>
      </c>
      <c r="D8" s="2">
        <v>1</v>
      </c>
      <c r="E8" s="11">
        <v>2</v>
      </c>
      <c r="F8" s="2">
        <v>3</v>
      </c>
      <c r="G8" s="9">
        <v>3</v>
      </c>
      <c r="H8" s="2">
        <v>3</v>
      </c>
      <c r="I8" s="14">
        <v>3</v>
      </c>
      <c r="J8" s="7">
        <v>3</v>
      </c>
      <c r="K8" s="2">
        <v>2</v>
      </c>
      <c r="L8" s="2">
        <v>3</v>
      </c>
    </row>
    <row r="9" spans="1:12" ht="20.25" customHeight="1" x14ac:dyDescent="0.2">
      <c r="A9" s="3" t="s">
        <v>19</v>
      </c>
      <c r="B9" s="4">
        <v>4.2</v>
      </c>
      <c r="C9" s="4">
        <v>4</v>
      </c>
      <c r="D9" s="16">
        <v>5</v>
      </c>
      <c r="E9" s="12">
        <v>3</v>
      </c>
      <c r="F9" s="2">
        <v>1</v>
      </c>
      <c r="G9" s="9">
        <v>1</v>
      </c>
      <c r="H9" s="2">
        <v>3</v>
      </c>
      <c r="I9" s="20">
        <v>5</v>
      </c>
      <c r="J9" s="16">
        <v>4</v>
      </c>
      <c r="K9" s="4">
        <v>3</v>
      </c>
      <c r="L9" s="4">
        <v>1</v>
      </c>
    </row>
    <row r="10" spans="1:12" ht="20.25" customHeight="1" x14ac:dyDescent="0.2">
      <c r="A10" s="1" t="s">
        <v>20</v>
      </c>
      <c r="B10" s="7">
        <v>5.2</v>
      </c>
      <c r="C10" s="7">
        <v>5</v>
      </c>
      <c r="D10" s="2">
        <v>4</v>
      </c>
      <c r="E10" s="11">
        <v>3</v>
      </c>
      <c r="F10" s="7">
        <v>5</v>
      </c>
      <c r="G10" s="18">
        <v>4</v>
      </c>
      <c r="H10" s="2">
        <v>3</v>
      </c>
      <c r="I10" s="14">
        <v>4</v>
      </c>
      <c r="J10" s="7">
        <v>5</v>
      </c>
      <c r="K10" s="2">
        <v>2</v>
      </c>
      <c r="L10" s="2">
        <v>2</v>
      </c>
    </row>
    <row r="11" spans="1:12" ht="20.25" customHeight="1" x14ac:dyDescent="0.2">
      <c r="A11" s="1" t="s">
        <v>21</v>
      </c>
      <c r="B11" s="2">
        <v>3.2</v>
      </c>
      <c r="C11" s="7">
        <v>5</v>
      </c>
      <c r="D11" s="2">
        <v>4</v>
      </c>
      <c r="E11" s="11">
        <v>3</v>
      </c>
      <c r="F11" s="2">
        <v>1</v>
      </c>
      <c r="G11" s="9">
        <v>1</v>
      </c>
      <c r="H11" s="2">
        <v>3</v>
      </c>
      <c r="I11" s="14">
        <v>3</v>
      </c>
      <c r="J11" s="2">
        <v>3</v>
      </c>
      <c r="K11" s="2">
        <v>4</v>
      </c>
      <c r="L11" s="2">
        <v>1</v>
      </c>
    </row>
    <row r="13" spans="1:12" x14ac:dyDescent="0.2">
      <c r="A13" t="s">
        <v>1</v>
      </c>
      <c r="B13" t="s">
        <v>22</v>
      </c>
      <c r="C13" t="s">
        <v>23</v>
      </c>
      <c r="D13" t="s">
        <v>24</v>
      </c>
      <c r="E13" t="s">
        <v>25</v>
      </c>
    </row>
    <row r="14" spans="1:12" x14ac:dyDescent="0.2">
      <c r="A14" t="s">
        <v>26</v>
      </c>
      <c r="B14">
        <f>3 + 5 + 4 + 4+ 1</f>
        <v>17</v>
      </c>
      <c r="C14">
        <f t="shared" ref="C14:C23" si="0">B14/5</f>
        <v>3.4</v>
      </c>
      <c r="D14">
        <v>1</v>
      </c>
      <c r="E14">
        <v>0</v>
      </c>
    </row>
    <row r="15" spans="1:12" x14ac:dyDescent="0.2">
      <c r="A15" t="s">
        <v>27</v>
      </c>
      <c r="B15">
        <f>3+4+4+4+1</f>
        <v>16</v>
      </c>
      <c r="C15">
        <f t="shared" si="0"/>
        <v>3.2</v>
      </c>
      <c r="D15">
        <v>0</v>
      </c>
      <c r="E15">
        <v>0</v>
      </c>
    </row>
    <row r="16" spans="1:12" x14ac:dyDescent="0.2">
      <c r="A16" s="6" t="s">
        <v>28</v>
      </c>
      <c r="B16">
        <f>4+3+2+4+3</f>
        <v>16</v>
      </c>
      <c r="C16">
        <f t="shared" si="0"/>
        <v>3.2</v>
      </c>
      <c r="D16">
        <v>1</v>
      </c>
      <c r="E16">
        <v>0</v>
      </c>
    </row>
    <row r="17" spans="1:5" x14ac:dyDescent="0.2">
      <c r="A17" s="6" t="s">
        <v>29</v>
      </c>
      <c r="B17">
        <f>1+4+4+3+2</f>
        <v>14</v>
      </c>
      <c r="C17">
        <f t="shared" si="0"/>
        <v>2.8</v>
      </c>
      <c r="E17">
        <v>1</v>
      </c>
    </row>
    <row r="18" spans="1:5" x14ac:dyDescent="0.2">
      <c r="A18" s="6" t="s">
        <v>30</v>
      </c>
      <c r="B18">
        <f>3+3+3+4+3</f>
        <v>16</v>
      </c>
      <c r="C18">
        <f t="shared" si="0"/>
        <v>3.2</v>
      </c>
      <c r="D18">
        <v>1</v>
      </c>
      <c r="E18">
        <v>0</v>
      </c>
    </row>
    <row r="19" spans="1:5" x14ac:dyDescent="0.2">
      <c r="A19" s="6" t="s">
        <v>31</v>
      </c>
      <c r="B19">
        <f>5+5+5+5+4</f>
        <v>24</v>
      </c>
      <c r="C19">
        <f t="shared" si="0"/>
        <v>4.8</v>
      </c>
      <c r="D19">
        <v>0</v>
      </c>
      <c r="E19">
        <v>1</v>
      </c>
    </row>
    <row r="20" spans="1:5" x14ac:dyDescent="0.2">
      <c r="A20" s="6" t="s">
        <v>32</v>
      </c>
      <c r="B20">
        <f>4+3+3+3+2</f>
        <v>15</v>
      </c>
      <c r="C20">
        <f t="shared" si="0"/>
        <v>3</v>
      </c>
      <c r="D20">
        <v>1</v>
      </c>
      <c r="E20">
        <v>0</v>
      </c>
    </row>
    <row r="21" spans="1:5" x14ac:dyDescent="0.2">
      <c r="A21" s="6" t="s">
        <v>33</v>
      </c>
      <c r="B21">
        <f>4+3+3+3+3</f>
        <v>16</v>
      </c>
      <c r="C21">
        <f t="shared" si="0"/>
        <v>3.2</v>
      </c>
      <c r="D21">
        <v>1</v>
      </c>
      <c r="E21">
        <v>0</v>
      </c>
    </row>
    <row r="22" spans="1:5" x14ac:dyDescent="0.2">
      <c r="A22" s="6" t="s">
        <v>34</v>
      </c>
      <c r="B22">
        <f>4+5+3+5+4</f>
        <v>21</v>
      </c>
      <c r="C22">
        <f t="shared" si="0"/>
        <v>4.2</v>
      </c>
      <c r="D22">
        <v>1</v>
      </c>
      <c r="E22">
        <v>0</v>
      </c>
    </row>
    <row r="23" spans="1:5" x14ac:dyDescent="0.2">
      <c r="A23" s="6" t="s">
        <v>35</v>
      </c>
      <c r="B23">
        <f>3+4+4+3+2</f>
        <v>16</v>
      </c>
      <c r="C23">
        <f t="shared" si="0"/>
        <v>3.2</v>
      </c>
      <c r="D23">
        <v>0</v>
      </c>
      <c r="E2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5FB9A6467400499F715C39AF11DE9F" ma:contentTypeVersion="13" ma:contentTypeDescription="Create a new document." ma:contentTypeScope="" ma:versionID="5fb9b446a02f96d9d85bb02b88e15339">
  <xsd:schema xmlns:xsd="http://www.w3.org/2001/XMLSchema" xmlns:xs="http://www.w3.org/2001/XMLSchema" xmlns:p="http://schemas.microsoft.com/office/2006/metadata/properties" xmlns:ns2="150b1219-d9da-4445-ad36-ec21261c5d4f" xmlns:ns3="9a572b76-45b8-4b32-b389-402f41bb30aa" targetNamespace="http://schemas.microsoft.com/office/2006/metadata/properties" ma:root="true" ma:fieldsID="43f6b7387ccc436e7c630f6c88d0af74" ns2:_="" ns3:_="">
    <xsd:import namespace="150b1219-d9da-4445-ad36-ec21261c5d4f"/>
    <xsd:import namespace="9a572b76-45b8-4b32-b389-402f41bb30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b1219-d9da-4445-ad36-ec21261c5d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a1f1625-ae5f-4790-9429-a47075c1c3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572b76-45b8-4b32-b389-402f41bb30a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83a1a11-ef65-432d-940b-f80479064023}" ma:internalName="TaxCatchAll" ma:showField="CatchAllData" ma:web="9a572b76-45b8-4b32-b389-402f41bb30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0b1219-d9da-4445-ad36-ec21261c5d4f">
      <Terms xmlns="http://schemas.microsoft.com/office/infopath/2007/PartnerControls"/>
    </lcf76f155ced4ddcb4097134ff3c332f>
    <TaxCatchAll xmlns="9a572b76-45b8-4b32-b389-402f41bb30a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31AA14-13F5-48C7-AF2E-40AB31D351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0b1219-d9da-4445-ad36-ec21261c5d4f"/>
    <ds:schemaRef ds:uri="9a572b76-45b8-4b32-b389-402f41bb30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9D7580-B628-4EE9-9F3D-FCB6F796078C}">
  <ds:schemaRefs>
    <ds:schemaRef ds:uri="http://schemas.openxmlformats.org/package/2006/metadata/core-properties"/>
    <ds:schemaRef ds:uri="http://schemas.microsoft.com/office/2006/documentManagement/types"/>
    <ds:schemaRef ds:uri="150b1219-d9da-4445-ad36-ec21261c5d4f"/>
    <ds:schemaRef ds:uri="http://purl.org/dc/terms/"/>
    <ds:schemaRef ds:uri="http://purl.org/dc/dcmitype/"/>
    <ds:schemaRef ds:uri="http://schemas.microsoft.com/office/infopath/2007/PartnerControls"/>
    <ds:schemaRef ds:uri="http://purl.org/dc/elements/1.1/"/>
    <ds:schemaRef ds:uri="9a572b76-45b8-4b32-b389-402f41bb30aa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842CE9E-1CF8-4E25-9D7A-313F7FCCE2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Kalra, Garvit</cp:lastModifiedBy>
  <cp:revision/>
  <dcterms:created xsi:type="dcterms:W3CDTF">2025-06-27T20:51:07Z</dcterms:created>
  <dcterms:modified xsi:type="dcterms:W3CDTF">2025-10-28T21:20:00Z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0x0101003A5FB9A6467400499F715C39AF11DE9F</vt:lpwstr>
  </property>
  <property fmtid="{D5CDD505-2E9C-101B-9397-08002B2CF9AE}" pid="3" name="MediaServiceImageTags">
    <vt:lpwstr/>
  </property>
</Properties>
</file>